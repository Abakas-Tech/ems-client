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reakdown" sheetId="1" state="visible" r:id="rId1"/>
    <sheet xmlns:r="http://schemas.openxmlformats.org/officeDocument/2006/relationships" name="Payment Schedule" sheetId="2" state="visible" r:id="rId2"/>
    <sheet xmlns:r="http://schemas.openxmlformats.org/officeDocument/2006/relationships" name="Upgrade Path" sheetId="3" state="visible" r:id="rId3"/>
    <sheet xmlns:r="http://schemas.openxmlformats.org/officeDocument/2006/relationships" name="Term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—&quot;"/>
  </numFmts>
  <fonts count="16">
    <font>
      <name val="Calibri"/>
      <family val="2"/>
      <color theme="1"/>
      <sz val="11"/>
      <scheme val="minor"/>
    </font>
    <font>
      <name val="Cambria"/>
      <b val="1"/>
      <color rgb="000B3033"/>
      <sz val="16"/>
    </font>
    <font>
      <name val="Calibri"/>
      <i val="1"/>
      <color rgb="005E6E70"/>
      <sz val="10"/>
    </font>
    <font>
      <name val="Calibri"/>
      <b val="1"/>
      <color rgb="00FFFFFF"/>
    </font>
    <font>
      <name val="Calibri"/>
      <b val="1"/>
      <color rgb="000B3033"/>
    </font>
    <font>
      <name val="Calibri"/>
      <b val="1"/>
      <color rgb="001B8A7A"/>
      <sz val="10"/>
    </font>
    <font>
      <name val="Calibri"/>
      <color rgb="000000FF"/>
      <sz val="11"/>
    </font>
    <font>
      <name val="Calibri"/>
      <b val="1"/>
      <color rgb="001C2B2D"/>
    </font>
    <font>
      <name val="Calibri"/>
      <color rgb="001C2B2D"/>
    </font>
    <font>
      <b val="1"/>
    </font>
    <font>
      <b val="1"/>
      <color rgb="00FFFFFF"/>
      <sz val="12"/>
    </font>
    <font>
      <b val="1"/>
      <color rgb="000B3033"/>
      <sz val="12"/>
    </font>
    <font>
      <i val="1"/>
      <color rgb="005E6E70"/>
      <sz val="10"/>
    </font>
    <font>
      <b val="1"/>
      <color rgb="00FFFFFF"/>
    </font>
    <font>
      <b val="1"/>
      <color rgb="000B3033"/>
    </font>
    <font>
      <b val="1"/>
      <color rgb="00C8453F"/>
    </font>
  </fonts>
  <fills count="7">
    <fill>
      <patternFill/>
    </fill>
    <fill>
      <patternFill patternType="gray125"/>
    </fill>
    <fill>
      <patternFill patternType="solid">
        <fgColor rgb="000B3033"/>
      </patternFill>
    </fill>
    <fill>
      <patternFill patternType="solid">
        <fgColor rgb="001B8A7A"/>
      </patternFill>
    </fill>
    <fill>
      <patternFill patternType="solid">
        <fgColor rgb="00EFA43A"/>
      </patternFill>
    </fill>
    <fill>
      <patternFill patternType="solid">
        <fgColor rgb="00E4F2EE"/>
      </patternFill>
    </fill>
    <fill>
      <patternFill patternType="solid">
        <fgColor rgb="00F2F6F6"/>
      </patternFill>
    </fill>
  </fills>
  <borders count="2">
    <border>
      <left/>
      <right/>
      <top/>
      <bottom/>
      <diagonal/>
    </border>
    <border>
      <left style="thin">
        <color rgb="00DCE5E4"/>
      </left>
      <right style="thin">
        <color rgb="00DCE5E4"/>
      </right>
      <top style="thin">
        <color rgb="00DCE5E4"/>
      </top>
      <bottom style="thin">
        <color rgb="00DCE5E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0" fillId="5" borderId="1" pivotButton="0" quotePrefix="0" xfId="0"/>
    <xf numFmtId="0" fontId="0" fillId="0" borderId="1" pivotButton="0" quotePrefix="0" xfId="0"/>
    <xf numFmtId="164" fontId="6" fillId="0" borderId="1" pivotButton="0" quotePrefix="0" xfId="0"/>
    <xf numFmtId="0" fontId="7" fillId="6" borderId="1" pivotButton="0" quotePrefix="0" xfId="0"/>
    <xf numFmtId="164" fontId="9" fillId="6" borderId="1" pivotButton="0" quotePrefix="0" xfId="0"/>
    <xf numFmtId="0" fontId="8" fillId="0" borderId="1" pivotButton="0" quotePrefix="0" xfId="0"/>
    <xf numFmtId="0" fontId="3" fillId="2" borderId="1" pivotButton="0" quotePrefix="0" xfId="0"/>
    <xf numFmtId="164" fontId="10" fillId="2" borderId="1" pivotButton="0" quotePrefix="0" xfId="0"/>
    <xf numFmtId="164" fontId="10" fillId="3" borderId="1" pivotButton="0" quotePrefix="0" xfId="0"/>
    <xf numFmtId="164" fontId="11" fillId="4" borderId="1" pivotButton="0" quotePrefix="0" xfId="0"/>
    <xf numFmtId="9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12" fillId="0" borderId="0" pivotButton="0" quotePrefix="0" xfId="0"/>
    <xf numFmtId="0" fontId="13" fillId="2" borderId="1" applyAlignment="1" pivotButton="0" quotePrefix="0" xfId="0">
      <alignment horizontal="left"/>
    </xf>
    <xf numFmtId="0" fontId="13" fillId="2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9" fontId="6" fillId="0" borderId="1" pivotButton="0" quotePrefix="0" xfId="0"/>
    <xf numFmtId="164" fontId="0" fillId="0" borderId="1" pivotButton="0" quotePrefix="0" xfId="0"/>
    <xf numFmtId="0" fontId="9" fillId="6" borderId="1" pivotButton="0" quotePrefix="0" xfId="0"/>
    <xf numFmtId="9" fontId="9" fillId="6" borderId="1" pivotButton="0" quotePrefix="0" xfId="0"/>
    <xf numFmtId="0" fontId="15" fillId="0" borderId="0" pivotButton="0" quotePrefix="0" xfId="0"/>
    <xf numFmtId="0" fontId="13" fillId="2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O-YES Integrated EMIS — Price breakdown by package (ETB)</t>
        </is>
      </c>
    </row>
    <row r="2">
      <c r="A2" s="2" t="inlineStr">
        <is>
          <t>Blue numbers are editable inputs; totals, discounts and payment schedule update automatically.</t>
        </is>
      </c>
    </row>
    <row r="4" ht="48" customHeight="1">
      <c r="A4" s="3" t="inlineStr">
        <is>
          <t>Component</t>
        </is>
      </c>
      <c r="B4" s="4" t="inlineStr">
        <is>
          <t>Package 1
Complete Platform
(Web + mobile)</t>
        </is>
      </c>
      <c r="C4" s="5" t="inlineStr">
        <is>
          <t>Package 2
Complete Web
(Web, all modules)</t>
        </is>
      </c>
      <c r="D4" s="6" t="inlineStr">
        <is>
          <t>Package 3
Core Operations
(Web, 3 modules)</t>
        </is>
      </c>
    </row>
    <row r="5">
      <c r="A5" s="7" t="inlineStr">
        <is>
          <t>Foundation (shared by every module)</t>
        </is>
      </c>
      <c r="B5" s="8" t="n"/>
      <c r="C5" s="8" t="n"/>
      <c r="D5" s="8" t="n"/>
    </row>
    <row r="6">
      <c r="A6" s="9" t="inlineStr">
        <is>
          <t>Discovery, requirements &amp; UI/UX design</t>
        </is>
      </c>
      <c r="B6" s="10" t="n">
        <v>35000</v>
      </c>
      <c r="C6" s="10" t="n">
        <v>28000</v>
      </c>
      <c r="D6" s="10" t="n">
        <v>18000</v>
      </c>
    </row>
    <row r="7">
      <c r="A7" s="9" t="inlineStr">
        <is>
          <t>Core platform: database, API, sign-in, users &amp; roles, audit log</t>
        </is>
      </c>
      <c r="B7" s="10" t="n">
        <v>55000</v>
      </c>
      <c r="C7" s="10" t="n">
        <v>45000</v>
      </c>
      <c r="D7" s="10" t="n">
        <v>38000</v>
      </c>
    </row>
    <row r="8">
      <c r="A8" s="9" t="inlineStr">
        <is>
          <t>Master Data &amp; Settings</t>
        </is>
      </c>
      <c r="B8" s="10" t="n">
        <v>20000</v>
      </c>
      <c r="C8" s="10" t="n">
        <v>20000</v>
      </c>
      <c r="D8" s="10" t="n">
        <v>12000</v>
      </c>
    </row>
    <row r="9">
      <c r="A9" s="9" t="inlineStr">
        <is>
          <t>Workflow, approvals, alerts &amp; notifications</t>
        </is>
      </c>
      <c r="B9" s="10" t="n">
        <v>35000</v>
      </c>
      <c r="C9" s="10" t="n">
        <v>32000</v>
      </c>
      <c r="D9" s="10" t="n">
        <v>16000</v>
      </c>
    </row>
    <row r="10">
      <c r="A10" s="9" t="inlineStr">
        <is>
          <t>Executive dashboard &amp; reports</t>
        </is>
      </c>
      <c r="B10" s="10" t="n">
        <v>40000</v>
      </c>
      <c r="C10" s="10" t="n">
        <v>40000</v>
      </c>
      <c r="D10" s="10" t="n">
        <v>16000</v>
      </c>
    </row>
    <row r="11">
      <c r="A11" s="7" t="inlineStr">
        <is>
          <t>Business modules (web)</t>
        </is>
      </c>
      <c r="B11" s="8" t="n"/>
      <c r="C11" s="8" t="n"/>
      <c r="D11" s="8" t="n"/>
    </row>
    <row r="12">
      <c r="A12" s="9" t="inlineStr">
        <is>
          <t>Projects &amp; MEAL</t>
        </is>
      </c>
      <c r="B12" s="10" t="n">
        <v>50000</v>
      </c>
      <c r="C12" s="10" t="n">
        <v>50000</v>
      </c>
      <c r="D12" s="10" t="n">
        <v>50000</v>
      </c>
    </row>
    <row r="13">
      <c r="A13" s="9" t="inlineStr">
        <is>
          <t>Finance &amp; Grants</t>
        </is>
      </c>
      <c r="B13" s="10" t="n">
        <v>50000</v>
      </c>
      <c r="C13" s="10" t="n">
        <v>50000</v>
      </c>
      <c r="D13" s="10" t="n">
        <v>50000</v>
      </c>
    </row>
    <row r="14">
      <c r="A14" s="9" t="inlineStr">
        <is>
          <t>Procurement &amp; Assets</t>
        </is>
      </c>
      <c r="B14" s="10" t="n">
        <v>40000</v>
      </c>
      <c r="C14" s="10" t="n">
        <v>40000</v>
      </c>
      <c r="D14" s="10" t="n">
        <v>40000</v>
      </c>
    </row>
    <row r="15">
      <c r="A15" s="9" t="inlineStr">
        <is>
          <t>Beneficiary &amp; Accountability</t>
        </is>
      </c>
      <c r="B15" s="10" t="n">
        <v>35000</v>
      </c>
      <c r="C15" s="10" t="n">
        <v>35000</v>
      </c>
      <c r="D15" s="10" t="n">
        <v>0</v>
      </c>
    </row>
    <row r="16">
      <c r="A16" s="9" t="inlineStr">
        <is>
          <t>Human Capital (HRIS)</t>
        </is>
      </c>
      <c r="B16" s="10" t="n">
        <v>30000</v>
      </c>
      <c r="C16" s="10" t="n">
        <v>30000</v>
      </c>
      <c r="D16" s="10" t="n">
        <v>0</v>
      </c>
    </row>
    <row r="17">
      <c r="A17" s="9" t="inlineStr">
        <is>
          <t>Governance, Risk &amp; Compliance</t>
        </is>
      </c>
      <c r="B17" s="10" t="n">
        <v>28000</v>
      </c>
      <c r="C17" s="10" t="n">
        <v>28000</v>
      </c>
      <c r="D17" s="10" t="n">
        <v>0</v>
      </c>
    </row>
    <row r="18">
      <c r="A18" s="9" t="inlineStr">
        <is>
          <t>Partnerships</t>
        </is>
      </c>
      <c r="B18" s="10" t="n">
        <v>12000</v>
      </c>
      <c r="C18" s="10" t="n">
        <v>12000</v>
      </c>
      <c r="D18" s="10" t="n">
        <v>0</v>
      </c>
    </row>
    <row r="19">
      <c r="A19" s="7" t="inlineStr">
        <is>
          <t>Mobile</t>
        </is>
      </c>
      <c r="B19" s="8" t="n"/>
      <c r="C19" s="8" t="n"/>
      <c r="D19" s="8" t="n"/>
    </row>
    <row r="20">
      <c r="A20" s="9" t="inlineStr">
        <is>
          <t>Offline-first Android app, sync service &amp; field workflows</t>
        </is>
      </c>
      <c r="B20" s="10" t="n">
        <v>120000</v>
      </c>
      <c r="C20" s="10" t="n">
        <v>0</v>
      </c>
      <c r="D20" s="10" t="n">
        <v>0</v>
      </c>
    </row>
    <row r="21">
      <c r="A21" s="7" t="inlineStr">
        <is>
          <t>Delivery</t>
        </is>
      </c>
      <c r="B21" s="8" t="n"/>
      <c r="C21" s="8" t="n"/>
      <c r="D21" s="8" t="n"/>
    </row>
    <row r="22">
      <c r="A22" s="9" t="inlineStr">
        <is>
          <t>Excel data migration</t>
        </is>
      </c>
      <c r="B22" s="10" t="n">
        <v>15000</v>
      </c>
      <c r="C22" s="10" t="n">
        <v>15000</v>
      </c>
      <c r="D22" s="10" t="n">
        <v>8000</v>
      </c>
    </row>
    <row r="23">
      <c r="A23" s="9" t="inlineStr">
        <is>
          <t>Testing, deployment, training &amp; handover</t>
        </is>
      </c>
      <c r="B23" s="10" t="n">
        <v>35000</v>
      </c>
      <c r="C23" s="10" t="n">
        <v>25000</v>
      </c>
      <c r="D23" s="10" t="n">
        <v>12000</v>
      </c>
    </row>
    <row r="24">
      <c r="A24" s="11" t="inlineStr">
        <is>
          <t>Subtotal (sum of components)</t>
        </is>
      </c>
      <c r="B24" s="12">
        <f>SUM(B5:B23)</f>
        <v/>
      </c>
      <c r="C24" s="12">
        <f>SUM(C5:C23)</f>
        <v/>
      </c>
      <c r="D24" s="12">
        <f>SUM(D5:D23)</f>
        <v/>
      </c>
    </row>
    <row r="25">
      <c r="A25" s="13" t="inlineStr">
        <is>
          <t>Discount (enter as a positive amount)</t>
        </is>
      </c>
      <c r="B25" s="10" t="n">
        <v>0</v>
      </c>
      <c r="C25" s="10" t="n">
        <v>0</v>
      </c>
      <c r="D25" s="10" t="n">
        <v>0</v>
      </c>
    </row>
    <row r="26">
      <c r="A26" s="14" t="inlineStr">
        <is>
          <t>TOTAL PACKAGE PRICE</t>
        </is>
      </c>
      <c r="B26" s="15">
        <f>B24-B25</f>
        <v/>
      </c>
      <c r="C26" s="16">
        <f>C24-C25</f>
        <v/>
      </c>
      <c r="D26" s="17">
        <f>D24-D25</f>
        <v/>
      </c>
    </row>
    <row r="27">
      <c r="A27" s="13" t="inlineStr">
        <is>
          <t>Share of Package 1 price</t>
        </is>
      </c>
      <c r="B27" s="18">
        <f>IF($B$26=0,0,B26/$B$26)</f>
        <v/>
      </c>
      <c r="C27" s="18">
        <f>IF($B$26=0,0,C26/$B$26)</f>
        <v/>
      </c>
      <c r="D27" s="18">
        <f>IF($B$26=0,0,D26/$B$26)</f>
        <v/>
      </c>
    </row>
    <row r="28">
      <c r="A28" s="13" t="inlineStr">
        <is>
          <t>Estimated delivery time (weeks)</t>
        </is>
      </c>
      <c r="B28" s="19" t="n">
        <v>24</v>
      </c>
      <c r="C28" s="19" t="n">
        <v>18</v>
      </c>
      <c r="D28" s="1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Payment milestones (ETB)</t>
        </is>
      </c>
    </row>
    <row r="2">
      <c r="A2" s="20" t="inlineStr">
        <is>
          <t>Edit the blue percentages; they must add up to 100%.</t>
        </is>
      </c>
    </row>
    <row r="4">
      <c r="A4" s="21" t="inlineStr">
        <is>
          <t>Milestone</t>
        </is>
      </c>
      <c r="B4" s="22" t="inlineStr">
        <is>
          <t>Share</t>
        </is>
      </c>
      <c r="C4" s="22" t="inlineStr">
        <is>
          <t>Package 1</t>
        </is>
      </c>
      <c r="D4" s="23" t="inlineStr">
        <is>
          <t>Package 2</t>
        </is>
      </c>
      <c r="E4" s="24" t="inlineStr">
        <is>
          <t>Package 3</t>
        </is>
      </c>
    </row>
    <row r="5">
      <c r="A5" s="9" t="inlineStr">
        <is>
          <t>Contract signing</t>
        </is>
      </c>
      <c r="B5" s="25" t="n">
        <v>0.3</v>
      </c>
      <c r="C5" s="26">
        <f>$B5*'Price Breakdown'!B26</f>
        <v/>
      </c>
      <c r="D5" s="26">
        <f>$B5*'Price Breakdown'!C26</f>
        <v/>
      </c>
      <c r="E5" s="26">
        <f>$B5*'Price Breakdown'!D26</f>
        <v/>
      </c>
    </row>
    <row r="6">
      <c r="A6" s="9" t="inlineStr">
        <is>
          <t>Design &amp; clickable prototype approved</t>
        </is>
      </c>
      <c r="B6" s="25" t="n">
        <v>0.3</v>
      </c>
      <c r="C6" s="26">
        <f>$B6*'Price Breakdown'!B26</f>
        <v/>
      </c>
      <c r="D6" s="26">
        <f>$B6*'Price Breakdown'!C26</f>
        <v/>
      </c>
      <c r="E6" s="26">
        <f>$B6*'Price Breakdown'!D26</f>
        <v/>
      </c>
    </row>
    <row r="7">
      <c r="A7" s="9" t="inlineStr">
        <is>
          <t>User acceptance testing passed</t>
        </is>
      </c>
      <c r="B7" s="25" t="n">
        <v>0.3</v>
      </c>
      <c r="C7" s="26">
        <f>$B7*'Price Breakdown'!B26</f>
        <v/>
      </c>
      <c r="D7" s="26">
        <f>$B7*'Price Breakdown'!C26</f>
        <v/>
      </c>
      <c r="E7" s="26">
        <f>$B7*'Price Breakdown'!D26</f>
        <v/>
      </c>
    </row>
    <row r="8">
      <c r="A8" s="9" t="inlineStr">
        <is>
          <t>Go-live &amp; training complete</t>
        </is>
      </c>
      <c r="B8" s="25" t="n">
        <v>0.1</v>
      </c>
      <c r="C8" s="26">
        <f>$B8*'Price Breakdown'!B26</f>
        <v/>
      </c>
      <c r="D8" s="26">
        <f>$B8*'Price Breakdown'!C26</f>
        <v/>
      </c>
      <c r="E8" s="26">
        <f>$B8*'Price Breakdown'!D26</f>
        <v/>
      </c>
    </row>
    <row r="9">
      <c r="A9" s="27" t="inlineStr">
        <is>
          <t>Total</t>
        </is>
      </c>
      <c r="B9" s="28">
        <f>SUM(B5:B8)</f>
        <v/>
      </c>
      <c r="C9" s="12">
        <f>SUM(C5:C8)</f>
        <v/>
      </c>
      <c r="D9" s="12">
        <f>SUM(D5:D8)</f>
        <v/>
      </c>
      <c r="E9" s="12">
        <f>SUM(E5:E8)</f>
        <v/>
      </c>
    </row>
    <row r="10">
      <c r="A10" s="29">
        <f>IF(ROUND(B9,4)=1,"","Warning: shares do not add up to 100%")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Upgrade path — amounts paid are credited in full</t>
        </is>
      </c>
    </row>
    <row r="3">
      <c r="A3" s="30" t="inlineStr">
        <is>
          <t>Step</t>
        </is>
      </c>
      <c r="B3" s="30" t="inlineStr">
        <is>
          <t>Pay now (ETB)</t>
        </is>
      </c>
      <c r="C3" s="30" t="inlineStr">
        <is>
          <t>Cumulative (ETB)</t>
        </is>
      </c>
    </row>
    <row r="4">
      <c r="A4" s="9" t="inlineStr">
        <is>
          <t>Start with Package 3 — Core Operations</t>
        </is>
      </c>
      <c r="B4" s="26">
        <f>'Price Breakdown'!D26</f>
        <v/>
      </c>
      <c r="C4" s="26">
        <f>B4</f>
        <v/>
      </c>
    </row>
    <row r="5">
      <c r="A5" s="9" t="inlineStr">
        <is>
          <t>Upgrade to Package 2 — Complete Web</t>
        </is>
      </c>
      <c r="B5" s="26">
        <f>'Price Breakdown'!C26-'Price Breakdown'!D26</f>
        <v/>
      </c>
      <c r="C5" s="26">
        <f>C4+B5</f>
        <v/>
      </c>
    </row>
    <row r="6">
      <c r="A6" s="9" t="inlineStr">
        <is>
          <t>Upgrade to Package 1 — add mobile app</t>
        </is>
      </c>
      <c r="B6" s="26">
        <f>'Price Breakdown'!B26-'Price Breakdown'!C26</f>
        <v/>
      </c>
      <c r="C6" s="26">
        <f>C5+B6</f>
        <v/>
      </c>
    </row>
    <row r="7">
      <c r="A7" s="9" t="inlineStr">
        <is>
          <t>Or: Package 2 directly → add mobile later</t>
        </is>
      </c>
      <c r="B7" s="26">
        <f>'Price Breakdown'!B26-'Price Breakdown'!C26</f>
        <v/>
      </c>
      <c r="C7" s="26">
        <f>'Price Breakdown'!B26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Terms &amp; assumptions</t>
        </is>
      </c>
    </row>
    <row r="3" ht="32" customHeight="1">
      <c r="A3" s="31" t="inlineStr">
        <is>
          <t>1. All prices are in Ethiopian Birr (ETB). VAT treatment as stated in the final contract.</t>
        </is>
      </c>
    </row>
    <row r="4" ht="32" customHeight="1">
      <c r="A4" s="31" t="inlineStr">
        <is>
          <t>2. Included in every package: deployment, data migration for included modules, role-based training, user guide, 3 months free support.</t>
        </is>
      </c>
    </row>
    <row r="5" ht="32" customHeight="1">
      <c r="A5" s="31" t="inlineStr">
        <is>
          <t>3. Not included: hosting, domain and SMS fees (paid by O-YES directly), devices, new features outside the agreed scope, external accounting-software integration.</t>
        </is>
      </c>
    </row>
    <row r="6" ht="32" customHeight="1">
      <c r="A6" s="31" t="inlineStr">
        <is>
          <t>4. Optional annual support &amp; maintenance after the free period: about 10% of the package price per year.</t>
        </is>
      </c>
    </row>
    <row r="7" ht="32" customHeight="1">
      <c r="A7" s="31" t="inlineStr">
        <is>
          <t>5. Upgrade prices (see Upgrade Path) are held for 12 months from go-live of the first package.</t>
        </is>
      </c>
    </row>
    <row r="8" ht="32" customHeight="1">
      <c r="A8" s="31" t="inlineStr">
        <is>
          <t>6. Prices valid for 60 days from the date of the proposal.</t>
        </is>
      </c>
    </row>
    <row r="9" ht="32" customHeight="1">
      <c r="A9" s="31" t="inlineStr">
        <is>
          <t>7. Timelines start once requirements are confirmed and assume timely feedback, sample data and a named O-YES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2026-09-28T05:46:09Z</dcterms:created>
  <dcterms:modified xmlns:dcterms="http://purl.org/dc/terms/" xmlns:xsi="http://www.w3.org/2001/XMLSchema-instance" xsi:type="dcterms:W3CDTF">2026-09-28T05:46:09Z</dcterms:modified>
</cp:coreProperties>
</file>